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olling-plan-optimizer\"/>
    </mc:Choice>
  </mc:AlternateContent>
  <xr:revisionPtr revIDLastSave="0" documentId="13_ncr:1_{9B8C1853-C356-4D49-9522-5E56E71B7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tion Roll Changeover Time" sheetId="9" r:id="rId1"/>
    <sheet name="Section change cost" sheetId="5" r:id="rId2"/>
    <sheet name="Thickness change cost" sheetId="7" r:id="rId3"/>
    <sheet name="Thickness Changeover Cost_SM" sheetId="11" r:id="rId4"/>
    <sheet name="Thickness Changeover Cost_LM" sheetId="12" r:id="rId5"/>
  </sheets>
  <definedNames>
    <definedName name="_xlnm._FilterDatabase" localSheetId="0" hidden="1">'Section Roll Changeover Time'!$A$1:$B$71</definedName>
    <definedName name="_xlnm._FilterDatabase" localSheetId="4" hidden="1">'Thickness Changeover Cost_LM'!$A$1:$A$122</definedName>
    <definedName name="_xlnm._FilterDatabase" localSheetId="3" hidden="1">'Thickness Changeover Cost_SM'!$A$1:$A$122</definedName>
    <definedName name="_xlnm.Print_Area" localSheetId="1">'Section change cost'!$A$2:$G$38</definedName>
    <definedName name="_xlnm.Print_Area" localSheetId="2">'Thickness change cost'!$A$2:$O$17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7" l="1"/>
  <c r="G11" i="7"/>
  <c r="G10" i="7"/>
  <c r="G5" i="7"/>
  <c r="G4" i="7"/>
  <c r="G3" i="7"/>
  <c r="G6" i="7" s="1"/>
  <c r="G13" i="7" l="1"/>
  <c r="F17" i="5"/>
  <c r="D17" i="5"/>
</calcChain>
</file>

<file path=xl/sharedStrings.xml><?xml version="1.0" encoding="utf-8"?>
<sst xmlns="http://schemas.openxmlformats.org/spreadsheetml/2006/main" count="311" uniqueCount="56">
  <si>
    <t>Section</t>
  </si>
  <si>
    <t>Thickness</t>
  </si>
  <si>
    <t>X</t>
  </si>
  <si>
    <t>120X120</t>
  </si>
  <si>
    <t>55X55</t>
  </si>
  <si>
    <t>110X110</t>
  </si>
  <si>
    <t>75X75</t>
  </si>
  <si>
    <t>150X150</t>
  </si>
  <si>
    <t>70X70</t>
  </si>
  <si>
    <t>60X60</t>
  </si>
  <si>
    <t>50X50</t>
  </si>
  <si>
    <t>45X45</t>
  </si>
  <si>
    <t>100X100</t>
  </si>
  <si>
    <t>65X65</t>
  </si>
  <si>
    <t>90X90</t>
  </si>
  <si>
    <t>80X80</t>
  </si>
  <si>
    <t>130X130</t>
  </si>
  <si>
    <t>Section Change Activities</t>
  </si>
  <si>
    <t>Sr.</t>
  </si>
  <si>
    <t>Rolls dressing</t>
  </si>
  <si>
    <t>Roll Embossing</t>
  </si>
  <si>
    <t>Guide Box removal</t>
  </si>
  <si>
    <t>Rolls Fitting</t>
  </si>
  <si>
    <t xml:space="preserve">Rolls removal </t>
  </si>
  <si>
    <t>Guide Box fitting</t>
  </si>
  <si>
    <t>Department</t>
  </si>
  <si>
    <t>Shifting of Rolls from mills to Workshop &amp; back to mill through EOT cranes</t>
  </si>
  <si>
    <t>Removal &amp; Fitting of rolls through EOT cranes</t>
  </si>
  <si>
    <t>EOT Cranes</t>
  </si>
  <si>
    <t>Workshop</t>
  </si>
  <si>
    <t>Mill Maintenance</t>
  </si>
  <si>
    <t>Manpower</t>
  </si>
  <si>
    <t>Time</t>
  </si>
  <si>
    <t>Gap setting &amp; other setting work</t>
  </si>
  <si>
    <t>Conveyor setting</t>
  </si>
  <si>
    <t>Electrical checks of all drives/stands/conveyors</t>
  </si>
  <si>
    <t>Electrical</t>
  </si>
  <si>
    <t>8 -12 Hrs - Based on Sections &amp; stands</t>
  </si>
  <si>
    <t xml:space="preserve"> Manpower Cost</t>
  </si>
  <si>
    <t>NA</t>
  </si>
  <si>
    <t>Manpower cost for section changes</t>
  </si>
  <si>
    <t>Cost for thickness changes</t>
  </si>
  <si>
    <t>Thickness Change idle loss costing</t>
  </si>
  <si>
    <t>Idle power cost</t>
  </si>
  <si>
    <t>Idle Coal consumption cost</t>
  </si>
  <si>
    <t>Mill</t>
  </si>
  <si>
    <t xml:space="preserve">20" </t>
  </si>
  <si>
    <t>Average production cost per MT (in Rs.)</t>
  </si>
  <si>
    <t>Average production/Hr (in MT)</t>
  </si>
  <si>
    <t xml:space="preserve">Idle Labour cost </t>
  </si>
  <si>
    <t>Loss of production (in minutes) in single thickness change</t>
  </si>
  <si>
    <t>Losses Amount (in Rs.) in single thickness change</t>
  </si>
  <si>
    <t>Note : Production loss for single thickness change is  10 MT in Bigger mill</t>
  </si>
  <si>
    <t>12"</t>
  </si>
  <si>
    <t>Note :Production loss for single thickness change is  5 MT in Lighter mill</t>
  </si>
  <si>
    <t>Please note in some section the thickness time may vary to up to 45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</si>
</sst>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top"/>
    </xf>
    <xf numFmtId="0" fontId="0" fillId="0" borderId="10" xfId="0" applyBorder="1" applyAlignment="1">
      <alignment vertical="center"/>
    </xf>
    <xf numFmtId="0" fontId="0" fillId="0" borderId="10" xfId="0" applyBorder="1"/>
    <xf numFmtId="0" fontId="2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/>
    </xf>
    <xf numFmtId="16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</cellXfs>
  <cellStyles count="2">
    <cellStyle name="Normal" xfId="0" builtinId="0"/>
    <cellStyle name="Normal 6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69A8-E121-4503-8E0A-E89A6A36F31F}">
  <dimension ref="A1:O15"/>
  <sheetViews>
    <sheetView showGridLines="0" tabSelected="1" topLeftCell="A4" workbookViewId="0">
      <selection activeCell="E13" sqref="E13"/>
    </sheetView>
  </sheetViews>
  <sheetFormatPr defaultRowHeight="14.4" x14ac:dyDescent="0.3"/>
  <cols>
    <col min="1" max="1" width="9" bestFit="1" customWidth="1"/>
    <col min="2" max="15" width="8.44140625" customWidth="1"/>
  </cols>
  <sheetData>
    <row r="1" spans="1:15" ht="29.4" customHeight="1" x14ac:dyDescent="0.3">
      <c r="A1" s="10" t="s">
        <v>0</v>
      </c>
      <c r="B1" s="11" t="s">
        <v>11</v>
      </c>
      <c r="C1" s="11" t="s">
        <v>10</v>
      </c>
      <c r="D1" s="12" t="s">
        <v>4</v>
      </c>
      <c r="E1" s="11" t="s">
        <v>9</v>
      </c>
      <c r="F1" s="11" t="s">
        <v>13</v>
      </c>
      <c r="G1" s="12" t="s">
        <v>8</v>
      </c>
      <c r="H1" s="11" t="s">
        <v>6</v>
      </c>
      <c r="I1" s="11" t="s">
        <v>15</v>
      </c>
      <c r="J1" s="11" t="s">
        <v>14</v>
      </c>
      <c r="K1" s="11" t="s">
        <v>12</v>
      </c>
      <c r="L1" s="11" t="s">
        <v>5</v>
      </c>
      <c r="M1" s="11" t="s">
        <v>3</v>
      </c>
      <c r="N1" s="12" t="s">
        <v>16</v>
      </c>
      <c r="O1" s="13" t="s">
        <v>7</v>
      </c>
    </row>
    <row r="2" spans="1:15" ht="29.4" customHeight="1" x14ac:dyDescent="0.3">
      <c r="A2" s="14" t="s">
        <v>11</v>
      </c>
      <c r="B2" s="43" t="s">
        <v>2</v>
      </c>
      <c r="C2" s="43">
        <v>7</v>
      </c>
      <c r="D2" s="43">
        <v>7</v>
      </c>
      <c r="E2" s="43">
        <v>7</v>
      </c>
      <c r="F2" s="43">
        <v>7</v>
      </c>
      <c r="G2" s="43">
        <v>10</v>
      </c>
      <c r="H2" s="43">
        <v>10</v>
      </c>
      <c r="I2" s="43"/>
      <c r="J2" s="43"/>
      <c r="K2" s="43"/>
      <c r="L2" s="43"/>
      <c r="M2" s="43"/>
      <c r="N2" s="43"/>
      <c r="O2" s="44"/>
    </row>
    <row r="3" spans="1:15" ht="29.4" customHeight="1" x14ac:dyDescent="0.3">
      <c r="A3" s="14" t="s">
        <v>10</v>
      </c>
      <c r="B3" s="43">
        <v>7</v>
      </c>
      <c r="C3" s="43" t="s">
        <v>2</v>
      </c>
      <c r="D3" s="43">
        <v>7</v>
      </c>
      <c r="E3" s="43">
        <v>7</v>
      </c>
      <c r="F3" s="43">
        <v>7</v>
      </c>
      <c r="G3" s="43">
        <v>10</v>
      </c>
      <c r="H3" s="43">
        <v>10</v>
      </c>
      <c r="I3" s="43"/>
      <c r="J3" s="43"/>
      <c r="K3" s="43"/>
      <c r="L3" s="43"/>
      <c r="M3" s="43"/>
      <c r="N3" s="43"/>
      <c r="O3" s="44"/>
    </row>
    <row r="4" spans="1:15" ht="29.4" customHeight="1" x14ac:dyDescent="0.3">
      <c r="A4" s="15" t="s">
        <v>4</v>
      </c>
      <c r="B4" s="43">
        <v>7</v>
      </c>
      <c r="C4" s="43">
        <v>7</v>
      </c>
      <c r="D4" s="43" t="s">
        <v>2</v>
      </c>
      <c r="E4" s="43">
        <v>7</v>
      </c>
      <c r="F4" s="43">
        <v>7</v>
      </c>
      <c r="G4" s="43">
        <v>10</v>
      </c>
      <c r="H4" s="43">
        <v>10</v>
      </c>
      <c r="I4" s="43"/>
      <c r="J4" s="43"/>
      <c r="K4" s="43"/>
      <c r="L4" s="43"/>
      <c r="M4" s="43"/>
      <c r="N4" s="43"/>
      <c r="O4" s="44"/>
    </row>
    <row r="5" spans="1:15" ht="29.4" customHeight="1" x14ac:dyDescent="0.3">
      <c r="A5" s="14" t="s">
        <v>9</v>
      </c>
      <c r="B5" s="43">
        <v>7</v>
      </c>
      <c r="C5" s="43">
        <v>7</v>
      </c>
      <c r="D5" s="43">
        <v>7</v>
      </c>
      <c r="E5" s="43" t="s">
        <v>2</v>
      </c>
      <c r="F5" s="43">
        <v>7</v>
      </c>
      <c r="G5" s="43">
        <v>10</v>
      </c>
      <c r="H5" s="43">
        <v>10</v>
      </c>
      <c r="I5" s="43"/>
      <c r="J5" s="43"/>
      <c r="K5" s="43"/>
      <c r="L5" s="43"/>
      <c r="M5" s="43"/>
      <c r="N5" s="43"/>
      <c r="O5" s="44"/>
    </row>
    <row r="6" spans="1:15" ht="29.4" customHeight="1" x14ac:dyDescent="0.3">
      <c r="A6" s="14" t="s">
        <v>13</v>
      </c>
      <c r="B6" s="43">
        <v>7</v>
      </c>
      <c r="C6" s="43">
        <v>7</v>
      </c>
      <c r="D6" s="43">
        <v>7</v>
      </c>
      <c r="E6" s="43">
        <v>7</v>
      </c>
      <c r="F6" s="43" t="s">
        <v>2</v>
      </c>
      <c r="G6" s="43">
        <v>7</v>
      </c>
      <c r="H6" s="43">
        <v>10</v>
      </c>
      <c r="I6" s="43"/>
      <c r="J6" s="43"/>
      <c r="K6" s="43"/>
      <c r="L6" s="43"/>
      <c r="M6" s="43"/>
      <c r="N6" s="43"/>
      <c r="O6" s="44"/>
    </row>
    <row r="7" spans="1:15" ht="29.4" customHeight="1" x14ac:dyDescent="0.3">
      <c r="A7" s="15" t="s">
        <v>8</v>
      </c>
      <c r="B7" s="43">
        <v>10</v>
      </c>
      <c r="C7" s="43">
        <v>10</v>
      </c>
      <c r="D7" s="43">
        <v>10</v>
      </c>
      <c r="E7" s="43">
        <v>7</v>
      </c>
      <c r="F7" s="43">
        <v>7</v>
      </c>
      <c r="G7" s="43" t="s">
        <v>2</v>
      </c>
      <c r="H7" s="43">
        <v>7</v>
      </c>
      <c r="I7" s="43"/>
      <c r="J7" s="43"/>
      <c r="K7" s="43"/>
      <c r="L7" s="43"/>
      <c r="M7" s="43"/>
      <c r="N7" s="43"/>
      <c r="O7" s="44"/>
    </row>
    <row r="8" spans="1:15" ht="29.4" customHeight="1" x14ac:dyDescent="0.3">
      <c r="A8" s="14" t="s">
        <v>6</v>
      </c>
      <c r="B8" s="43">
        <v>10</v>
      </c>
      <c r="C8" s="43">
        <v>10</v>
      </c>
      <c r="D8" s="43">
        <v>10</v>
      </c>
      <c r="E8" s="43">
        <v>10</v>
      </c>
      <c r="F8" s="43">
        <v>7</v>
      </c>
      <c r="G8" s="43">
        <v>7</v>
      </c>
      <c r="H8" s="43" t="s">
        <v>2</v>
      </c>
      <c r="I8" s="43"/>
      <c r="J8" s="43"/>
      <c r="K8" s="43"/>
      <c r="L8" s="43"/>
      <c r="M8" s="43"/>
      <c r="N8" s="43"/>
      <c r="O8" s="44"/>
    </row>
    <row r="9" spans="1:15" ht="29.4" customHeight="1" x14ac:dyDescent="0.3">
      <c r="A9" s="14" t="s">
        <v>15</v>
      </c>
      <c r="B9" s="43"/>
      <c r="C9" s="43"/>
      <c r="D9" s="43"/>
      <c r="E9" s="43"/>
      <c r="F9" s="43"/>
      <c r="G9" s="43"/>
      <c r="H9" s="43"/>
      <c r="I9" s="43" t="s">
        <v>2</v>
      </c>
      <c r="J9" s="43">
        <v>7</v>
      </c>
      <c r="K9" s="43">
        <v>7</v>
      </c>
      <c r="L9" s="43">
        <v>10</v>
      </c>
      <c r="M9" s="43">
        <v>10</v>
      </c>
      <c r="N9" s="43">
        <v>10</v>
      </c>
      <c r="O9" s="43">
        <v>10</v>
      </c>
    </row>
    <row r="10" spans="1:15" ht="29.4" customHeight="1" x14ac:dyDescent="0.3">
      <c r="A10" s="14" t="s">
        <v>14</v>
      </c>
      <c r="B10" s="43"/>
      <c r="C10" s="43"/>
      <c r="D10" s="43"/>
      <c r="E10" s="43"/>
      <c r="F10" s="43"/>
      <c r="G10" s="43"/>
      <c r="H10" s="43"/>
      <c r="I10" s="43">
        <v>7</v>
      </c>
      <c r="J10" s="43" t="s">
        <v>2</v>
      </c>
      <c r="K10" s="43">
        <v>7</v>
      </c>
      <c r="L10" s="43">
        <v>10</v>
      </c>
      <c r="M10" s="43">
        <v>10</v>
      </c>
      <c r="N10" s="43">
        <v>10</v>
      </c>
      <c r="O10" s="43">
        <v>10</v>
      </c>
    </row>
    <row r="11" spans="1:15" ht="29.4" customHeight="1" x14ac:dyDescent="0.3">
      <c r="A11" s="14" t="s">
        <v>12</v>
      </c>
      <c r="B11" s="43"/>
      <c r="C11" s="43"/>
      <c r="D11" s="43"/>
      <c r="E11" s="43"/>
      <c r="F11" s="43"/>
      <c r="G11" s="43"/>
      <c r="H11" s="43"/>
      <c r="I11" s="43">
        <v>7</v>
      </c>
      <c r="J11" s="43">
        <v>7</v>
      </c>
      <c r="K11" s="43" t="s">
        <v>2</v>
      </c>
      <c r="L11" s="43">
        <v>10</v>
      </c>
      <c r="M11" s="43">
        <v>10</v>
      </c>
      <c r="N11" s="43">
        <v>10</v>
      </c>
      <c r="O11" s="43">
        <v>10</v>
      </c>
    </row>
    <row r="12" spans="1:15" ht="29.4" customHeight="1" x14ac:dyDescent="0.3">
      <c r="A12" s="14" t="s">
        <v>5</v>
      </c>
      <c r="B12" s="43"/>
      <c r="C12" s="43"/>
      <c r="D12" s="43"/>
      <c r="E12" s="43"/>
      <c r="F12" s="43"/>
      <c r="G12" s="43"/>
      <c r="H12" s="43"/>
      <c r="I12" s="43">
        <v>10</v>
      </c>
      <c r="J12" s="43">
        <v>10</v>
      </c>
      <c r="K12" s="43">
        <v>10</v>
      </c>
      <c r="L12" s="43" t="s">
        <v>2</v>
      </c>
      <c r="M12" s="43">
        <v>10</v>
      </c>
      <c r="N12" s="43">
        <v>10</v>
      </c>
      <c r="O12" s="43">
        <v>10</v>
      </c>
    </row>
    <row r="13" spans="1:15" ht="29.4" customHeight="1" x14ac:dyDescent="0.3">
      <c r="A13" s="14" t="s">
        <v>3</v>
      </c>
      <c r="B13" s="43"/>
      <c r="C13" s="43"/>
      <c r="D13" s="43"/>
      <c r="E13" s="43"/>
      <c r="F13" s="43"/>
      <c r="G13" s="43"/>
      <c r="H13" s="43"/>
      <c r="I13" s="43">
        <v>10</v>
      </c>
      <c r="J13" s="43">
        <v>10</v>
      </c>
      <c r="K13" s="43">
        <v>10</v>
      </c>
      <c r="L13" s="43">
        <v>10</v>
      </c>
      <c r="M13" s="43" t="s">
        <v>2</v>
      </c>
      <c r="N13" s="43">
        <v>7</v>
      </c>
      <c r="O13" s="43">
        <v>10</v>
      </c>
    </row>
    <row r="14" spans="1:15" ht="29.4" customHeight="1" x14ac:dyDescent="0.3">
      <c r="A14" s="15" t="s">
        <v>16</v>
      </c>
      <c r="B14" s="43"/>
      <c r="C14" s="43"/>
      <c r="D14" s="43"/>
      <c r="E14" s="43"/>
      <c r="F14" s="43"/>
      <c r="G14" s="43"/>
      <c r="H14" s="43"/>
      <c r="I14" s="43">
        <v>10</v>
      </c>
      <c r="J14" s="43">
        <v>10</v>
      </c>
      <c r="K14" s="43">
        <v>10</v>
      </c>
      <c r="L14" s="43">
        <v>10</v>
      </c>
      <c r="M14" s="43">
        <v>7</v>
      </c>
      <c r="N14" s="43" t="s">
        <v>2</v>
      </c>
      <c r="O14" s="43">
        <v>10</v>
      </c>
    </row>
    <row r="15" spans="1:15" ht="29.4" customHeight="1" thickBot="1" x14ac:dyDescent="0.35">
      <c r="A15" s="16" t="s">
        <v>7</v>
      </c>
      <c r="B15" s="45"/>
      <c r="C15" s="45"/>
      <c r="D15" s="45"/>
      <c r="E15" s="45"/>
      <c r="F15" s="45"/>
      <c r="G15" s="45"/>
      <c r="H15" s="45"/>
      <c r="I15" s="43">
        <v>10</v>
      </c>
      <c r="J15" s="43">
        <v>10</v>
      </c>
      <c r="K15" s="43">
        <v>10</v>
      </c>
      <c r="L15" s="43">
        <v>10</v>
      </c>
      <c r="M15" s="45">
        <v>10</v>
      </c>
      <c r="N15" s="45">
        <v>10</v>
      </c>
      <c r="O15" s="4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7"/>
  <sheetViews>
    <sheetView workbookViewId="0"/>
  </sheetViews>
  <sheetFormatPr defaultRowHeight="14.4" x14ac:dyDescent="0.3"/>
  <cols>
    <col min="1" max="1" width="3.21875" bestFit="1" customWidth="1"/>
    <col min="2" max="2" width="59.6640625" bestFit="1" customWidth="1"/>
    <col min="3" max="3" width="13.21875" customWidth="1"/>
    <col min="4" max="4" width="9.44140625" bestFit="1" customWidth="1"/>
    <col min="5" max="5" width="11.44140625" customWidth="1"/>
    <col min="6" max="6" width="13.88671875" bestFit="1" customWidth="1"/>
  </cols>
  <sheetData>
    <row r="1" spans="1:6" x14ac:dyDescent="0.3">
      <c r="A1" s="19" t="s">
        <v>40</v>
      </c>
      <c r="B1" s="19"/>
      <c r="C1" s="19"/>
      <c r="D1" s="19"/>
      <c r="E1" s="19"/>
      <c r="F1" s="19"/>
    </row>
    <row r="2" spans="1:6" x14ac:dyDescent="0.3">
      <c r="A2" s="19" t="s">
        <v>18</v>
      </c>
      <c r="B2" s="19" t="s">
        <v>17</v>
      </c>
      <c r="C2" s="19" t="s">
        <v>25</v>
      </c>
      <c r="D2" s="19" t="s">
        <v>31</v>
      </c>
      <c r="E2" s="20" t="s">
        <v>32</v>
      </c>
      <c r="F2" s="20" t="s">
        <v>38</v>
      </c>
    </row>
    <row r="3" spans="1:6" x14ac:dyDescent="0.3">
      <c r="A3" s="17">
        <v>1</v>
      </c>
      <c r="B3" s="17" t="s">
        <v>23</v>
      </c>
      <c r="C3" s="37" t="s">
        <v>30</v>
      </c>
      <c r="D3" s="35">
        <v>11</v>
      </c>
      <c r="E3" s="40" t="s">
        <v>37</v>
      </c>
      <c r="F3" s="35">
        <v>14933</v>
      </c>
    </row>
    <row r="4" spans="1:6" x14ac:dyDescent="0.3">
      <c r="A4" s="17">
        <v>2</v>
      </c>
      <c r="B4" s="17" t="s">
        <v>22</v>
      </c>
      <c r="C4" s="37"/>
      <c r="D4" s="39"/>
      <c r="E4" s="41"/>
      <c r="F4" s="39"/>
    </row>
    <row r="5" spans="1:6" x14ac:dyDescent="0.3">
      <c r="A5" s="17">
        <v>3</v>
      </c>
      <c r="B5" s="17" t="s">
        <v>21</v>
      </c>
      <c r="C5" s="37"/>
      <c r="D5" s="39"/>
      <c r="E5" s="41"/>
      <c r="F5" s="39"/>
    </row>
    <row r="6" spans="1:6" x14ac:dyDescent="0.3">
      <c r="A6" s="17">
        <v>4</v>
      </c>
      <c r="B6" s="17" t="s">
        <v>24</v>
      </c>
      <c r="C6" s="37"/>
      <c r="D6" s="39"/>
      <c r="E6" s="41"/>
      <c r="F6" s="39"/>
    </row>
    <row r="7" spans="1:6" x14ac:dyDescent="0.3">
      <c r="A7" s="17">
        <v>5</v>
      </c>
      <c r="B7" s="17" t="s">
        <v>33</v>
      </c>
      <c r="C7" s="37"/>
      <c r="D7" s="39"/>
      <c r="E7" s="41"/>
      <c r="F7" s="39"/>
    </row>
    <row r="8" spans="1:6" x14ac:dyDescent="0.3">
      <c r="A8" s="17">
        <v>5</v>
      </c>
      <c r="B8" s="17" t="s">
        <v>34</v>
      </c>
      <c r="C8" s="37"/>
      <c r="D8" s="36"/>
      <c r="E8" s="41"/>
      <c r="F8" s="36"/>
    </row>
    <row r="9" spans="1:6" x14ac:dyDescent="0.3">
      <c r="A9" s="17">
        <v>6</v>
      </c>
      <c r="B9" s="17" t="s">
        <v>19</v>
      </c>
      <c r="C9" s="38" t="s">
        <v>29</v>
      </c>
      <c r="D9" s="35">
        <v>3</v>
      </c>
      <c r="E9" s="41"/>
      <c r="F9" s="35">
        <v>4133</v>
      </c>
    </row>
    <row r="10" spans="1:6" x14ac:dyDescent="0.3">
      <c r="A10" s="17">
        <v>7</v>
      </c>
      <c r="B10" s="17" t="s">
        <v>20</v>
      </c>
      <c r="C10" s="38"/>
      <c r="D10" s="36"/>
      <c r="E10" s="41"/>
      <c r="F10" s="36"/>
    </row>
    <row r="11" spans="1:6" x14ac:dyDescent="0.3">
      <c r="A11" s="17">
        <v>8</v>
      </c>
      <c r="B11" s="17" t="s">
        <v>27</v>
      </c>
      <c r="C11" s="38" t="s">
        <v>28</v>
      </c>
      <c r="D11" s="35">
        <v>2</v>
      </c>
      <c r="E11" s="41"/>
      <c r="F11" s="35">
        <v>2067</v>
      </c>
    </row>
    <row r="12" spans="1:6" x14ac:dyDescent="0.3">
      <c r="A12" s="17">
        <v>9</v>
      </c>
      <c r="B12" s="17" t="s">
        <v>26</v>
      </c>
      <c r="C12" s="38"/>
      <c r="D12" s="36"/>
      <c r="E12" s="42"/>
      <c r="F12" s="36"/>
    </row>
    <row r="13" spans="1:6" x14ac:dyDescent="0.3">
      <c r="A13" s="17">
        <v>10</v>
      </c>
      <c r="B13" s="17" t="s">
        <v>35</v>
      </c>
      <c r="C13" s="17" t="s">
        <v>36</v>
      </c>
      <c r="D13" s="18">
        <v>3</v>
      </c>
      <c r="E13" s="18"/>
      <c r="F13" s="18">
        <v>2967</v>
      </c>
    </row>
    <row r="14" spans="1:6" x14ac:dyDescent="0.3">
      <c r="A14" s="17"/>
      <c r="B14" s="17"/>
      <c r="C14" s="17"/>
      <c r="D14" s="17"/>
      <c r="E14" s="18"/>
      <c r="F14" s="18"/>
    </row>
    <row r="15" spans="1:6" x14ac:dyDescent="0.3">
      <c r="A15" s="17"/>
      <c r="B15" s="17"/>
      <c r="C15" s="17"/>
      <c r="D15" s="17"/>
      <c r="E15" s="18"/>
      <c r="F15" s="18"/>
    </row>
    <row r="16" spans="1:6" x14ac:dyDescent="0.3">
      <c r="A16" s="17"/>
      <c r="B16" s="17"/>
      <c r="C16" s="17"/>
      <c r="D16" s="17"/>
      <c r="E16" s="18"/>
      <c r="F16" s="18"/>
    </row>
    <row r="17" spans="1:6" x14ac:dyDescent="0.3">
      <c r="A17" s="17"/>
      <c r="B17" s="17"/>
      <c r="C17" s="17"/>
      <c r="D17" s="18">
        <f>SUM(D3:D16)</f>
        <v>19</v>
      </c>
      <c r="E17" s="18"/>
      <c r="F17" s="18">
        <f>SUM(F3:F16)</f>
        <v>24100</v>
      </c>
    </row>
  </sheetData>
  <mergeCells count="10">
    <mergeCell ref="F9:F10"/>
    <mergeCell ref="F11:F12"/>
    <mergeCell ref="C3:C8"/>
    <mergeCell ref="C9:C10"/>
    <mergeCell ref="C11:C12"/>
    <mergeCell ref="D3:D8"/>
    <mergeCell ref="D9:D10"/>
    <mergeCell ref="D11:D12"/>
    <mergeCell ref="E3:E12"/>
    <mergeCell ref="F3:F8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63E8-45B4-45C1-994C-EF27714180A4}">
  <sheetPr>
    <pageSetUpPr fitToPage="1"/>
  </sheetPr>
  <dimension ref="A1:I17"/>
  <sheetViews>
    <sheetView workbookViewId="0"/>
  </sheetViews>
  <sheetFormatPr defaultRowHeight="14.4" x14ac:dyDescent="0.3"/>
  <cols>
    <col min="1" max="1" width="3.21875" bestFit="1" customWidth="1"/>
    <col min="2" max="2" width="32.6640625" customWidth="1"/>
    <col min="3" max="3" width="4.109375" bestFit="1" customWidth="1"/>
    <col min="4" max="4" width="11" customWidth="1"/>
    <col min="5" max="6" width="11.21875" customWidth="1"/>
    <col min="7" max="7" width="9.44140625" bestFit="1" customWidth="1"/>
    <col min="9" max="9" width="11.33203125" customWidth="1"/>
    <col min="10" max="10" width="10.44140625" bestFit="1" customWidth="1"/>
  </cols>
  <sheetData>
    <row r="1" spans="1:9" x14ac:dyDescent="0.3">
      <c r="A1" s="19" t="s">
        <v>41</v>
      </c>
      <c r="B1" s="19"/>
      <c r="C1" s="19"/>
      <c r="D1" s="19"/>
      <c r="E1" s="19"/>
      <c r="F1" s="19"/>
      <c r="G1" s="19"/>
    </row>
    <row r="2" spans="1:9" ht="86.4" x14ac:dyDescent="0.3">
      <c r="A2" s="24" t="s">
        <v>18</v>
      </c>
      <c r="B2" s="24" t="s">
        <v>42</v>
      </c>
      <c r="C2" s="24" t="s">
        <v>45</v>
      </c>
      <c r="D2" s="27" t="s">
        <v>48</v>
      </c>
      <c r="E2" s="27" t="s">
        <v>47</v>
      </c>
      <c r="F2" s="27" t="s">
        <v>50</v>
      </c>
      <c r="G2" s="27" t="s">
        <v>51</v>
      </c>
    </row>
    <row r="3" spans="1:9" x14ac:dyDescent="0.3">
      <c r="A3" s="17">
        <v>1</v>
      </c>
      <c r="B3" s="17" t="s">
        <v>43</v>
      </c>
      <c r="C3" s="17" t="s">
        <v>46</v>
      </c>
      <c r="D3" s="28">
        <v>20</v>
      </c>
      <c r="E3" s="29">
        <v>1208</v>
      </c>
      <c r="F3" s="29">
        <v>30</v>
      </c>
      <c r="G3" s="30">
        <f>E3*D3/2</f>
        <v>12080</v>
      </c>
    </row>
    <row r="4" spans="1:9" x14ac:dyDescent="0.3">
      <c r="A4" s="17">
        <v>2</v>
      </c>
      <c r="B4" s="17" t="s">
        <v>44</v>
      </c>
      <c r="C4" s="17" t="s">
        <v>46</v>
      </c>
      <c r="D4" s="28">
        <v>20</v>
      </c>
      <c r="E4" s="29">
        <v>1378</v>
      </c>
      <c r="F4" s="29">
        <v>30</v>
      </c>
      <c r="G4" s="30">
        <f t="shared" ref="G4:G5" si="0">E4*D4/2</f>
        <v>13780</v>
      </c>
    </row>
    <row r="5" spans="1:9" x14ac:dyDescent="0.3">
      <c r="A5" s="17">
        <v>3</v>
      </c>
      <c r="B5" s="26" t="s">
        <v>49</v>
      </c>
      <c r="C5" s="26" t="s">
        <v>46</v>
      </c>
      <c r="D5" s="31">
        <v>20</v>
      </c>
      <c r="E5" s="32">
        <v>2009</v>
      </c>
      <c r="F5" s="29">
        <v>30</v>
      </c>
      <c r="G5" s="30">
        <f t="shared" si="0"/>
        <v>20090</v>
      </c>
    </row>
    <row r="6" spans="1:9" x14ac:dyDescent="0.3">
      <c r="A6" s="17"/>
      <c r="B6" s="17"/>
      <c r="C6" s="17"/>
      <c r="D6" s="28"/>
      <c r="E6" s="29"/>
      <c r="F6" s="29"/>
      <c r="G6" s="34">
        <f>SUM(G3:G5)</f>
        <v>45950</v>
      </c>
      <c r="I6">
        <v>1531.6666666666667</v>
      </c>
    </row>
    <row r="7" spans="1:9" x14ac:dyDescent="0.3">
      <c r="A7" s="17"/>
      <c r="B7" s="19" t="s">
        <v>52</v>
      </c>
      <c r="C7" s="19"/>
      <c r="D7" s="19"/>
      <c r="E7" s="33"/>
      <c r="F7" s="22"/>
      <c r="G7" s="6"/>
    </row>
    <row r="8" spans="1:9" x14ac:dyDescent="0.3">
      <c r="A8" s="17"/>
      <c r="B8" s="19" t="s">
        <v>55</v>
      </c>
      <c r="C8" s="17"/>
      <c r="D8" s="17"/>
      <c r="E8" s="22"/>
      <c r="F8" s="22"/>
      <c r="G8" s="6"/>
    </row>
    <row r="9" spans="1:9" x14ac:dyDescent="0.3">
      <c r="A9" s="17"/>
      <c r="B9" s="17"/>
      <c r="C9" s="17"/>
      <c r="D9" s="17"/>
      <c r="E9" s="25"/>
      <c r="F9" s="23"/>
      <c r="G9" s="21"/>
    </row>
    <row r="10" spans="1:9" x14ac:dyDescent="0.3">
      <c r="A10" s="17">
        <v>1</v>
      </c>
      <c r="B10" s="17" t="s">
        <v>43</v>
      </c>
      <c r="C10" s="17" t="s">
        <v>53</v>
      </c>
      <c r="D10" s="28">
        <v>10</v>
      </c>
      <c r="E10" s="29">
        <v>1208</v>
      </c>
      <c r="F10" s="29">
        <v>30</v>
      </c>
      <c r="G10" s="30">
        <f>E10*D10/2</f>
        <v>6040</v>
      </c>
    </row>
    <row r="11" spans="1:9" x14ac:dyDescent="0.3">
      <c r="A11" s="17">
        <v>2</v>
      </c>
      <c r="B11" s="17" t="s">
        <v>44</v>
      </c>
      <c r="C11" s="17" t="s">
        <v>53</v>
      </c>
      <c r="D11" s="28">
        <v>10</v>
      </c>
      <c r="E11" s="29">
        <v>1378</v>
      </c>
      <c r="F11" s="29">
        <v>30</v>
      </c>
      <c r="G11" s="30">
        <f t="shared" ref="G11:G12" si="1">E11*D11/2</f>
        <v>6890</v>
      </c>
    </row>
    <row r="12" spans="1:9" x14ac:dyDescent="0.3">
      <c r="A12" s="17">
        <v>3</v>
      </c>
      <c r="B12" s="26" t="s">
        <v>49</v>
      </c>
      <c r="C12" s="17" t="s">
        <v>53</v>
      </c>
      <c r="D12" s="28">
        <v>10</v>
      </c>
      <c r="E12" s="32">
        <v>2009</v>
      </c>
      <c r="F12" s="29">
        <v>30</v>
      </c>
      <c r="G12" s="30">
        <f t="shared" si="1"/>
        <v>10045</v>
      </c>
    </row>
    <row r="13" spans="1:9" x14ac:dyDescent="0.3">
      <c r="A13" s="17"/>
      <c r="B13" s="17"/>
      <c r="C13" s="17"/>
      <c r="D13" s="28"/>
      <c r="E13" s="29"/>
      <c r="F13" s="29"/>
      <c r="G13" s="34">
        <f>SUM(G10:G12)</f>
        <v>22975</v>
      </c>
      <c r="I13">
        <v>765.83333333333337</v>
      </c>
    </row>
    <row r="14" spans="1:9" x14ac:dyDescent="0.3">
      <c r="A14" s="17"/>
      <c r="B14" s="19" t="s">
        <v>54</v>
      </c>
      <c r="C14" s="17"/>
      <c r="D14" s="17"/>
      <c r="E14" s="22"/>
      <c r="F14" s="22"/>
      <c r="G14" s="6"/>
    </row>
    <row r="15" spans="1:9" x14ac:dyDescent="0.3">
      <c r="A15" s="17"/>
      <c r="B15" s="17"/>
      <c r="C15" s="17"/>
      <c r="D15" s="17"/>
      <c r="E15" s="17"/>
      <c r="F15" s="17"/>
      <c r="G15" s="17"/>
    </row>
    <row r="16" spans="1:9" x14ac:dyDescent="0.3">
      <c r="A16" s="17"/>
      <c r="B16" s="17"/>
      <c r="C16" s="17"/>
      <c r="D16" s="17"/>
      <c r="E16" s="17"/>
      <c r="F16" s="17"/>
      <c r="G16" s="17"/>
    </row>
    <row r="17" spans="1:7" x14ac:dyDescent="0.3">
      <c r="A17" s="17"/>
      <c r="B17" s="17"/>
      <c r="C17" s="17"/>
      <c r="D17" s="17"/>
      <c r="E17" s="17"/>
      <c r="F17" s="17"/>
      <c r="G17" s="18"/>
    </row>
  </sheetData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B232-9FC2-43F1-A3A3-4C09663B85CC}">
  <sheetPr>
    <pageSetUpPr fitToPage="1"/>
  </sheetPr>
  <dimension ref="A1:Q17"/>
  <sheetViews>
    <sheetView showGridLines="0" zoomScaleNormal="100" workbookViewId="0">
      <selection sqref="A1:A1048576"/>
    </sheetView>
  </sheetViews>
  <sheetFormatPr defaultRowHeight="14.4" x14ac:dyDescent="0.3"/>
  <cols>
    <col min="1" max="1" width="18.88671875" customWidth="1"/>
  </cols>
  <sheetData>
    <row r="1" spans="1:17" x14ac:dyDescent="0.3">
      <c r="A1" s="1" t="s">
        <v>1</v>
      </c>
      <c r="B1" s="2">
        <v>4</v>
      </c>
      <c r="C1" s="2">
        <v>5</v>
      </c>
      <c r="D1" s="2">
        <v>6</v>
      </c>
      <c r="E1" s="2">
        <v>7</v>
      </c>
      <c r="F1" s="2">
        <v>8</v>
      </c>
      <c r="G1" s="2">
        <v>9</v>
      </c>
      <c r="H1" s="2">
        <v>10</v>
      </c>
      <c r="I1" s="2">
        <v>11</v>
      </c>
      <c r="J1" s="2">
        <v>12</v>
      </c>
      <c r="K1" s="2">
        <v>13</v>
      </c>
      <c r="L1" s="2">
        <v>14</v>
      </c>
      <c r="M1" s="2">
        <v>15</v>
      </c>
      <c r="N1" s="2">
        <v>16</v>
      </c>
      <c r="O1" s="2">
        <v>17</v>
      </c>
      <c r="P1" s="2">
        <v>18</v>
      </c>
      <c r="Q1" s="3">
        <v>20</v>
      </c>
    </row>
    <row r="2" spans="1:17" ht="31.2" customHeight="1" x14ac:dyDescent="0.3">
      <c r="A2" s="4">
        <v>4</v>
      </c>
      <c r="B2" s="6" t="s">
        <v>2</v>
      </c>
      <c r="C2" s="6">
        <v>22975</v>
      </c>
      <c r="D2" s="6">
        <v>22975</v>
      </c>
      <c r="E2" s="6">
        <v>34462.5</v>
      </c>
      <c r="F2" s="6">
        <v>34462.5</v>
      </c>
      <c r="G2" s="6" t="s">
        <v>39</v>
      </c>
      <c r="H2" s="6" t="s">
        <v>39</v>
      </c>
      <c r="I2" s="6" t="s">
        <v>39</v>
      </c>
      <c r="J2" s="6" t="s">
        <v>39</v>
      </c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 t="s">
        <v>39</v>
      </c>
    </row>
    <row r="3" spans="1:17" ht="31.2" customHeight="1" x14ac:dyDescent="0.3">
      <c r="A3" s="4">
        <v>5</v>
      </c>
      <c r="B3" s="6">
        <v>22975</v>
      </c>
      <c r="C3" s="6" t="s">
        <v>2</v>
      </c>
      <c r="D3" s="6">
        <v>22975</v>
      </c>
      <c r="E3" s="6">
        <v>34462.5</v>
      </c>
      <c r="F3" s="6">
        <v>34462.5</v>
      </c>
      <c r="G3" s="6" t="s">
        <v>39</v>
      </c>
      <c r="H3" s="6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6" t="s">
        <v>39</v>
      </c>
      <c r="N3" s="6" t="s">
        <v>39</v>
      </c>
      <c r="O3" s="6" t="s">
        <v>39</v>
      </c>
      <c r="P3" s="6" t="s">
        <v>39</v>
      </c>
      <c r="Q3" s="6" t="s">
        <v>39</v>
      </c>
    </row>
    <row r="4" spans="1:17" ht="31.2" customHeight="1" x14ac:dyDescent="0.3">
      <c r="A4" s="4">
        <v>6</v>
      </c>
      <c r="B4" s="6">
        <v>22975</v>
      </c>
      <c r="C4" s="6">
        <v>22975</v>
      </c>
      <c r="D4" s="6" t="s">
        <v>2</v>
      </c>
      <c r="E4" s="6">
        <v>22975</v>
      </c>
      <c r="F4" s="6">
        <v>22975</v>
      </c>
      <c r="G4" s="6">
        <v>34462.5</v>
      </c>
      <c r="H4" s="6">
        <v>34462.5</v>
      </c>
      <c r="I4" s="6" t="s">
        <v>39</v>
      </c>
      <c r="J4" s="6" t="s">
        <v>39</v>
      </c>
      <c r="K4" s="6" t="s">
        <v>39</v>
      </c>
      <c r="L4" s="6" t="s">
        <v>39</v>
      </c>
      <c r="M4" s="6" t="s">
        <v>39</v>
      </c>
      <c r="N4" s="6" t="s">
        <v>39</v>
      </c>
      <c r="O4" s="6" t="s">
        <v>39</v>
      </c>
      <c r="P4" s="6" t="s">
        <v>39</v>
      </c>
      <c r="Q4" s="6" t="s">
        <v>39</v>
      </c>
    </row>
    <row r="5" spans="1:17" ht="31.2" customHeight="1" x14ac:dyDescent="0.3">
      <c r="A5" s="4">
        <v>7</v>
      </c>
      <c r="B5" s="6">
        <v>22975</v>
      </c>
      <c r="C5" s="6">
        <v>22975</v>
      </c>
      <c r="D5" s="6">
        <v>22975</v>
      </c>
      <c r="E5" s="6" t="s">
        <v>2</v>
      </c>
      <c r="F5" s="6">
        <v>22975</v>
      </c>
      <c r="G5" s="6">
        <v>22975</v>
      </c>
      <c r="H5" s="6">
        <v>34462.5</v>
      </c>
      <c r="I5" s="6" t="s">
        <v>39</v>
      </c>
      <c r="J5" s="6" t="s">
        <v>39</v>
      </c>
      <c r="K5" s="6" t="s">
        <v>39</v>
      </c>
      <c r="L5" s="6" t="s">
        <v>39</v>
      </c>
      <c r="M5" s="6" t="s">
        <v>39</v>
      </c>
      <c r="N5" s="6" t="s">
        <v>39</v>
      </c>
      <c r="O5" s="6" t="s">
        <v>39</v>
      </c>
      <c r="P5" s="6" t="s">
        <v>39</v>
      </c>
      <c r="Q5" s="6" t="s">
        <v>39</v>
      </c>
    </row>
    <row r="6" spans="1:17" ht="31.2" customHeight="1" x14ac:dyDescent="0.3">
      <c r="A6" s="4">
        <v>8</v>
      </c>
      <c r="B6" s="6">
        <v>22975</v>
      </c>
      <c r="C6" s="6">
        <v>22975</v>
      </c>
      <c r="D6" s="6">
        <v>22975</v>
      </c>
      <c r="E6" s="6">
        <v>22975</v>
      </c>
      <c r="F6" s="6" t="s">
        <v>2</v>
      </c>
      <c r="G6" s="6">
        <v>22975</v>
      </c>
      <c r="H6" s="6">
        <v>22975</v>
      </c>
      <c r="I6" s="6" t="s">
        <v>39</v>
      </c>
      <c r="J6" s="6" t="s">
        <v>39</v>
      </c>
      <c r="K6" s="6" t="s">
        <v>39</v>
      </c>
      <c r="L6" s="6" t="s">
        <v>39</v>
      </c>
      <c r="M6" s="6" t="s">
        <v>39</v>
      </c>
      <c r="N6" s="6" t="s">
        <v>39</v>
      </c>
      <c r="O6" s="6" t="s">
        <v>39</v>
      </c>
      <c r="P6" s="6" t="s">
        <v>39</v>
      </c>
      <c r="Q6" s="6" t="s">
        <v>39</v>
      </c>
    </row>
    <row r="7" spans="1:17" ht="31.2" customHeight="1" x14ac:dyDescent="0.3">
      <c r="A7" s="4">
        <v>9</v>
      </c>
      <c r="B7" s="6">
        <v>22975</v>
      </c>
      <c r="C7" s="6">
        <v>22975</v>
      </c>
      <c r="D7" s="6">
        <v>22975</v>
      </c>
      <c r="E7" s="6">
        <v>22975</v>
      </c>
      <c r="F7" s="6">
        <v>22975</v>
      </c>
      <c r="G7" s="6" t="s">
        <v>2</v>
      </c>
      <c r="H7" s="6">
        <v>22975</v>
      </c>
      <c r="I7" s="6">
        <v>22975</v>
      </c>
      <c r="J7" s="6" t="s">
        <v>39</v>
      </c>
      <c r="K7" s="6" t="s">
        <v>39</v>
      </c>
      <c r="L7" s="6" t="s">
        <v>39</v>
      </c>
      <c r="M7" s="6" t="s">
        <v>39</v>
      </c>
      <c r="N7" s="6" t="s">
        <v>39</v>
      </c>
      <c r="O7" s="6" t="s">
        <v>39</v>
      </c>
      <c r="P7" s="6" t="s">
        <v>39</v>
      </c>
      <c r="Q7" s="6" t="s">
        <v>39</v>
      </c>
    </row>
    <row r="8" spans="1:17" ht="31.2" customHeight="1" x14ac:dyDescent="0.3">
      <c r="A8" s="4">
        <v>10</v>
      </c>
      <c r="B8" s="6" t="s">
        <v>39</v>
      </c>
      <c r="C8" s="6" t="s">
        <v>39</v>
      </c>
      <c r="D8" s="6">
        <v>22975</v>
      </c>
      <c r="E8" s="6">
        <v>22975</v>
      </c>
      <c r="F8" s="6">
        <v>22975</v>
      </c>
      <c r="G8" s="6">
        <v>22975</v>
      </c>
      <c r="H8" s="6" t="s">
        <v>2</v>
      </c>
      <c r="I8" s="6">
        <v>22975</v>
      </c>
      <c r="J8" s="6">
        <v>22975</v>
      </c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6" t="s">
        <v>39</v>
      </c>
      <c r="Q8" s="6" t="s">
        <v>39</v>
      </c>
    </row>
    <row r="9" spans="1:17" ht="31.2" customHeight="1" x14ac:dyDescent="0.3">
      <c r="A9" s="4">
        <v>11</v>
      </c>
      <c r="B9" s="6" t="s">
        <v>39</v>
      </c>
      <c r="C9" s="6" t="s">
        <v>39</v>
      </c>
      <c r="D9" s="6" t="s">
        <v>39</v>
      </c>
      <c r="E9" s="6">
        <v>22975</v>
      </c>
      <c r="F9" s="6">
        <v>22975</v>
      </c>
      <c r="G9" s="6">
        <v>22975</v>
      </c>
      <c r="H9" s="6">
        <v>22975</v>
      </c>
      <c r="I9" s="6" t="s">
        <v>2</v>
      </c>
      <c r="J9" s="6">
        <v>22975</v>
      </c>
      <c r="K9" s="6">
        <v>22975</v>
      </c>
      <c r="L9" s="6">
        <v>22975</v>
      </c>
      <c r="M9" s="6">
        <v>22975</v>
      </c>
      <c r="N9" s="6">
        <v>34462.5</v>
      </c>
      <c r="O9" s="6">
        <v>34462.5</v>
      </c>
      <c r="P9" s="6">
        <v>34462.5</v>
      </c>
      <c r="Q9" s="6">
        <v>34462.5</v>
      </c>
    </row>
    <row r="10" spans="1:17" ht="31.2" customHeight="1" x14ac:dyDescent="0.3">
      <c r="A10" s="4">
        <v>12</v>
      </c>
      <c r="B10" s="6" t="s">
        <v>39</v>
      </c>
      <c r="C10" s="6" t="s">
        <v>39</v>
      </c>
      <c r="D10" s="6" t="s">
        <v>39</v>
      </c>
      <c r="E10" s="6">
        <v>22975</v>
      </c>
      <c r="F10" s="6">
        <v>22975</v>
      </c>
      <c r="G10" s="6">
        <v>22975</v>
      </c>
      <c r="H10" s="6">
        <v>22975</v>
      </c>
      <c r="I10" s="6">
        <v>22975</v>
      </c>
      <c r="J10" s="6" t="s">
        <v>2</v>
      </c>
      <c r="K10" s="6">
        <v>22975</v>
      </c>
      <c r="L10" s="6">
        <v>22975</v>
      </c>
      <c r="M10" s="6" t="s">
        <v>39</v>
      </c>
      <c r="N10" s="6">
        <v>34462.5</v>
      </c>
      <c r="O10" s="6">
        <v>34462.5</v>
      </c>
      <c r="P10" s="6">
        <v>34462.5</v>
      </c>
      <c r="Q10" s="6">
        <v>34462.5</v>
      </c>
    </row>
    <row r="11" spans="1:17" ht="31.2" customHeight="1" x14ac:dyDescent="0.3">
      <c r="A11" s="4">
        <v>13</v>
      </c>
      <c r="B11" s="6" t="s">
        <v>39</v>
      </c>
      <c r="C11" s="6" t="s">
        <v>39</v>
      </c>
      <c r="D11" s="6" t="s">
        <v>39</v>
      </c>
      <c r="E11" s="6">
        <v>22975</v>
      </c>
      <c r="F11" s="6">
        <v>22975</v>
      </c>
      <c r="G11" s="6">
        <v>22975</v>
      </c>
      <c r="H11" s="6">
        <v>22975</v>
      </c>
      <c r="I11" s="6">
        <v>22975</v>
      </c>
      <c r="J11" s="6">
        <v>22975</v>
      </c>
      <c r="K11" s="6" t="s">
        <v>2</v>
      </c>
      <c r="L11" s="6">
        <v>22975</v>
      </c>
      <c r="M11" s="6">
        <v>22975</v>
      </c>
      <c r="N11" s="6">
        <v>34462.5</v>
      </c>
      <c r="O11" s="6">
        <v>34462.5</v>
      </c>
      <c r="P11" s="6">
        <v>34462.5</v>
      </c>
      <c r="Q11" s="6">
        <v>34462.5</v>
      </c>
    </row>
    <row r="12" spans="1:17" ht="31.2" customHeight="1" x14ac:dyDescent="0.3">
      <c r="A12" s="4">
        <v>14</v>
      </c>
      <c r="B12" s="6" t="s">
        <v>39</v>
      </c>
      <c r="C12" s="6" t="s">
        <v>39</v>
      </c>
      <c r="D12" s="6" t="s">
        <v>39</v>
      </c>
      <c r="E12" s="6">
        <v>34462.5</v>
      </c>
      <c r="F12" s="6">
        <v>34462.5</v>
      </c>
      <c r="G12" s="6">
        <v>22975</v>
      </c>
      <c r="H12" s="6">
        <v>22975</v>
      </c>
      <c r="I12" s="6">
        <v>22975</v>
      </c>
      <c r="J12" s="6">
        <v>22975</v>
      </c>
      <c r="K12" s="6">
        <v>22975</v>
      </c>
      <c r="L12" s="6" t="s">
        <v>2</v>
      </c>
      <c r="M12" s="6">
        <v>22975</v>
      </c>
      <c r="N12" s="6">
        <v>34462.5</v>
      </c>
      <c r="O12" s="6">
        <v>22975</v>
      </c>
      <c r="P12" s="6">
        <v>22975</v>
      </c>
      <c r="Q12" s="6">
        <v>34462.5</v>
      </c>
    </row>
    <row r="13" spans="1:17" ht="31.2" customHeight="1" x14ac:dyDescent="0.3">
      <c r="A13" s="4">
        <v>15</v>
      </c>
      <c r="B13" s="6" t="s">
        <v>39</v>
      </c>
      <c r="C13" s="6" t="s">
        <v>39</v>
      </c>
      <c r="D13" s="6" t="s">
        <v>39</v>
      </c>
      <c r="E13" s="6">
        <v>34462.5</v>
      </c>
      <c r="F13" s="6">
        <v>34462.5</v>
      </c>
      <c r="G13" s="6">
        <v>34462.5</v>
      </c>
      <c r="H13" s="6">
        <v>34462.5</v>
      </c>
      <c r="I13" s="6">
        <v>22975</v>
      </c>
      <c r="J13" s="6">
        <v>22975</v>
      </c>
      <c r="K13" s="6">
        <v>22975</v>
      </c>
      <c r="L13" s="6">
        <v>22975</v>
      </c>
      <c r="M13" s="6" t="s">
        <v>2</v>
      </c>
      <c r="N13" s="6">
        <v>34462.5</v>
      </c>
      <c r="O13" s="6">
        <v>22975</v>
      </c>
      <c r="P13" s="6">
        <v>22975</v>
      </c>
      <c r="Q13" s="6">
        <v>34462.5</v>
      </c>
    </row>
    <row r="14" spans="1:17" ht="31.2" customHeight="1" x14ac:dyDescent="0.3">
      <c r="A14" s="4">
        <v>16</v>
      </c>
      <c r="B14" s="6" t="s">
        <v>39</v>
      </c>
      <c r="C14" s="6" t="s">
        <v>39</v>
      </c>
      <c r="D14" s="6" t="s">
        <v>39</v>
      </c>
      <c r="E14" s="6">
        <v>34462.5</v>
      </c>
      <c r="F14" s="6">
        <v>34462.5</v>
      </c>
      <c r="G14" s="6">
        <v>34462.5</v>
      </c>
      <c r="H14" s="6">
        <v>34462.5</v>
      </c>
      <c r="I14" s="6">
        <v>22975</v>
      </c>
      <c r="J14" s="6">
        <v>22975</v>
      </c>
      <c r="K14" s="6">
        <v>22975</v>
      </c>
      <c r="L14" s="6">
        <v>22975</v>
      </c>
      <c r="M14" s="6">
        <v>22975</v>
      </c>
      <c r="N14" s="6" t="s">
        <v>2</v>
      </c>
      <c r="O14" s="6">
        <v>22975</v>
      </c>
      <c r="P14" s="6">
        <v>22975</v>
      </c>
      <c r="Q14" s="6">
        <v>22975</v>
      </c>
    </row>
    <row r="15" spans="1:17" ht="31.2" customHeight="1" x14ac:dyDescent="0.3">
      <c r="A15" s="4">
        <v>17</v>
      </c>
      <c r="B15" s="6" t="s">
        <v>39</v>
      </c>
      <c r="C15" s="6" t="s">
        <v>39</v>
      </c>
      <c r="D15" s="6" t="s">
        <v>39</v>
      </c>
      <c r="E15" s="6">
        <v>34462.5</v>
      </c>
      <c r="F15" s="6">
        <v>34462.5</v>
      </c>
      <c r="G15" s="6">
        <v>34462.5</v>
      </c>
      <c r="H15" s="6">
        <v>34462.5</v>
      </c>
      <c r="I15" s="6">
        <v>22975</v>
      </c>
      <c r="J15" s="6">
        <v>22975</v>
      </c>
      <c r="K15" s="6">
        <v>22975</v>
      </c>
      <c r="L15" s="6">
        <v>22975</v>
      </c>
      <c r="M15" s="6">
        <v>22975</v>
      </c>
      <c r="N15" s="6">
        <v>22975</v>
      </c>
      <c r="O15" s="6" t="s">
        <v>2</v>
      </c>
      <c r="P15" s="6">
        <v>22975</v>
      </c>
      <c r="Q15" s="6">
        <v>22975</v>
      </c>
    </row>
    <row r="16" spans="1:17" ht="31.2" customHeight="1" x14ac:dyDescent="0.3">
      <c r="A16" s="4">
        <v>18</v>
      </c>
      <c r="B16" s="6" t="s">
        <v>39</v>
      </c>
      <c r="C16" s="6" t="s">
        <v>39</v>
      </c>
      <c r="D16" s="6" t="s">
        <v>39</v>
      </c>
      <c r="E16" s="6">
        <v>34462.5</v>
      </c>
      <c r="F16" s="6">
        <v>34462.5</v>
      </c>
      <c r="G16" s="6">
        <v>34462.5</v>
      </c>
      <c r="H16" s="6">
        <v>34462.5</v>
      </c>
      <c r="I16" s="6">
        <v>34462.5</v>
      </c>
      <c r="J16" s="6">
        <v>34462.5</v>
      </c>
      <c r="K16" s="6">
        <v>34462.5</v>
      </c>
      <c r="L16" s="6">
        <v>34462.5</v>
      </c>
      <c r="M16" s="6">
        <v>34462.5</v>
      </c>
      <c r="N16" s="6">
        <v>22975</v>
      </c>
      <c r="O16" s="6">
        <v>22975</v>
      </c>
      <c r="P16" s="6" t="s">
        <v>2</v>
      </c>
      <c r="Q16" s="6">
        <v>22975</v>
      </c>
    </row>
    <row r="17" spans="1:17" ht="31.2" customHeight="1" thickBot="1" x14ac:dyDescent="0.35">
      <c r="A17" s="5">
        <v>20</v>
      </c>
      <c r="B17" s="6" t="s">
        <v>39</v>
      </c>
      <c r="C17" s="6" t="s">
        <v>39</v>
      </c>
      <c r="D17" s="6" t="s">
        <v>39</v>
      </c>
      <c r="E17" s="6">
        <v>34462.5</v>
      </c>
      <c r="F17" s="6">
        <v>34462.5</v>
      </c>
      <c r="G17" s="6">
        <v>34462.5</v>
      </c>
      <c r="H17" s="6">
        <v>34462.5</v>
      </c>
      <c r="I17" s="6">
        <v>34462.5</v>
      </c>
      <c r="J17" s="6">
        <v>34462.5</v>
      </c>
      <c r="K17" s="6">
        <v>34462.5</v>
      </c>
      <c r="L17" s="6">
        <v>34462.5</v>
      </c>
      <c r="M17" s="6">
        <v>34462.5</v>
      </c>
      <c r="N17" s="6">
        <v>22975</v>
      </c>
      <c r="O17" s="6">
        <v>22975</v>
      </c>
      <c r="P17" s="6">
        <v>22975</v>
      </c>
      <c r="Q17" s="6" t="s">
        <v>2</v>
      </c>
    </row>
  </sheetData>
  <pageMargins left="0.70866141732283472" right="0.70866141732283472" top="0.74803149606299213" bottom="0.74803149606299213" header="0.31496062992125984" footer="0.31496062992125984"/>
  <pageSetup paperSize="9" scale="76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D8AB-626B-452F-B4BA-DDCE87E9F107}">
  <sheetPr>
    <pageSetUpPr fitToPage="1"/>
  </sheetPr>
  <dimension ref="A1:Q17"/>
  <sheetViews>
    <sheetView showGridLines="0" zoomScaleNormal="100" workbookViewId="0">
      <selection activeCell="A2" sqref="A2"/>
    </sheetView>
  </sheetViews>
  <sheetFormatPr defaultRowHeight="14.4" x14ac:dyDescent="0.3"/>
  <cols>
    <col min="1" max="1" width="18.88671875" customWidth="1"/>
  </cols>
  <sheetData>
    <row r="1" spans="1:17" x14ac:dyDescent="0.3">
      <c r="A1" s="1" t="s">
        <v>1</v>
      </c>
      <c r="B1" s="2">
        <v>4</v>
      </c>
      <c r="C1" s="2">
        <v>5</v>
      </c>
      <c r="D1" s="2">
        <v>6</v>
      </c>
      <c r="E1" s="2">
        <v>7</v>
      </c>
      <c r="F1" s="2">
        <v>8</v>
      </c>
      <c r="G1" s="2">
        <v>9</v>
      </c>
      <c r="H1" s="2">
        <v>10</v>
      </c>
      <c r="I1" s="2">
        <v>11</v>
      </c>
      <c r="J1" s="2">
        <v>12</v>
      </c>
      <c r="K1" s="2">
        <v>13</v>
      </c>
      <c r="L1" s="2">
        <v>14</v>
      </c>
      <c r="M1" s="2">
        <v>15</v>
      </c>
      <c r="N1" s="2">
        <v>16</v>
      </c>
      <c r="O1" s="2">
        <v>17</v>
      </c>
      <c r="P1" s="2">
        <v>18</v>
      </c>
      <c r="Q1" s="3">
        <v>20</v>
      </c>
    </row>
    <row r="2" spans="1:17" ht="31.2" customHeight="1" x14ac:dyDescent="0.3">
      <c r="A2" s="4">
        <v>4</v>
      </c>
      <c r="B2" s="6" t="s">
        <v>2</v>
      </c>
      <c r="C2" s="6">
        <v>45950</v>
      </c>
      <c r="D2" s="6">
        <v>45950</v>
      </c>
      <c r="E2" s="6">
        <v>68925</v>
      </c>
      <c r="F2" s="6">
        <v>68925</v>
      </c>
      <c r="G2" s="6" t="s">
        <v>39</v>
      </c>
      <c r="H2" s="6" t="s">
        <v>39</v>
      </c>
      <c r="I2" s="6" t="s">
        <v>39</v>
      </c>
      <c r="J2" s="6" t="s">
        <v>39</v>
      </c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7" t="s">
        <v>39</v>
      </c>
    </row>
    <row r="3" spans="1:17" ht="31.2" customHeight="1" x14ac:dyDescent="0.3">
      <c r="A3" s="4">
        <v>5</v>
      </c>
      <c r="B3" s="6">
        <v>45950</v>
      </c>
      <c r="C3" s="6" t="s">
        <v>2</v>
      </c>
      <c r="D3" s="6">
        <v>45950</v>
      </c>
      <c r="E3" s="6">
        <v>68925</v>
      </c>
      <c r="F3" s="6">
        <v>68925</v>
      </c>
      <c r="G3" s="6" t="s">
        <v>39</v>
      </c>
      <c r="H3" s="6" t="s">
        <v>39</v>
      </c>
      <c r="I3" s="6" t="s">
        <v>39</v>
      </c>
      <c r="J3" s="6" t="s">
        <v>39</v>
      </c>
      <c r="K3" s="6" t="s">
        <v>39</v>
      </c>
      <c r="L3" s="6" t="s">
        <v>39</v>
      </c>
      <c r="M3" s="6" t="s">
        <v>39</v>
      </c>
      <c r="N3" s="6" t="s">
        <v>39</v>
      </c>
      <c r="O3" s="6" t="s">
        <v>39</v>
      </c>
      <c r="P3" s="6" t="s">
        <v>39</v>
      </c>
      <c r="Q3" s="7" t="s">
        <v>39</v>
      </c>
    </row>
    <row r="4" spans="1:17" ht="31.2" customHeight="1" x14ac:dyDescent="0.3">
      <c r="A4" s="4">
        <v>6</v>
      </c>
      <c r="B4" s="6">
        <v>45950</v>
      </c>
      <c r="C4" s="6">
        <v>45950</v>
      </c>
      <c r="D4" s="6" t="s">
        <v>2</v>
      </c>
      <c r="E4" s="6">
        <v>45950</v>
      </c>
      <c r="F4" s="6">
        <v>45950</v>
      </c>
      <c r="G4" s="6">
        <v>68925</v>
      </c>
      <c r="H4" s="6">
        <v>68925</v>
      </c>
      <c r="I4" s="6" t="s">
        <v>39</v>
      </c>
      <c r="J4" s="6" t="s">
        <v>39</v>
      </c>
      <c r="K4" s="6" t="s">
        <v>39</v>
      </c>
      <c r="L4" s="6" t="s">
        <v>39</v>
      </c>
      <c r="M4" s="6" t="s">
        <v>39</v>
      </c>
      <c r="N4" s="6" t="s">
        <v>39</v>
      </c>
      <c r="O4" s="6" t="s">
        <v>39</v>
      </c>
      <c r="P4" s="6" t="s">
        <v>39</v>
      </c>
      <c r="Q4" s="7" t="s">
        <v>39</v>
      </c>
    </row>
    <row r="5" spans="1:17" ht="31.2" customHeight="1" x14ac:dyDescent="0.3">
      <c r="A5" s="4">
        <v>7</v>
      </c>
      <c r="B5" s="6">
        <v>45950</v>
      </c>
      <c r="C5" s="6">
        <v>45950</v>
      </c>
      <c r="D5" s="6">
        <v>45950</v>
      </c>
      <c r="E5" s="6" t="s">
        <v>2</v>
      </c>
      <c r="F5" s="6">
        <v>45950</v>
      </c>
      <c r="G5" s="6">
        <v>45950</v>
      </c>
      <c r="H5" s="6">
        <v>68925</v>
      </c>
      <c r="I5" s="6" t="s">
        <v>39</v>
      </c>
      <c r="J5" s="6" t="s">
        <v>39</v>
      </c>
      <c r="K5" s="6" t="s">
        <v>39</v>
      </c>
      <c r="L5" s="6" t="s">
        <v>39</v>
      </c>
      <c r="M5" s="6" t="s">
        <v>39</v>
      </c>
      <c r="N5" s="6" t="s">
        <v>39</v>
      </c>
      <c r="O5" s="6" t="s">
        <v>39</v>
      </c>
      <c r="P5" s="6" t="s">
        <v>39</v>
      </c>
      <c r="Q5" s="7" t="s">
        <v>39</v>
      </c>
    </row>
    <row r="6" spans="1:17" ht="31.2" customHeight="1" x14ac:dyDescent="0.3">
      <c r="A6" s="4">
        <v>8</v>
      </c>
      <c r="B6" s="6">
        <v>45950</v>
      </c>
      <c r="C6" s="6">
        <v>45950</v>
      </c>
      <c r="D6" s="6">
        <v>45950</v>
      </c>
      <c r="E6" s="6">
        <v>45950</v>
      </c>
      <c r="F6" s="6" t="s">
        <v>2</v>
      </c>
      <c r="G6" s="6">
        <v>45950</v>
      </c>
      <c r="H6" s="6">
        <v>45950</v>
      </c>
      <c r="I6" s="6" t="s">
        <v>39</v>
      </c>
      <c r="J6" s="6" t="s">
        <v>39</v>
      </c>
      <c r="K6" s="6" t="s">
        <v>39</v>
      </c>
      <c r="L6" s="6" t="s">
        <v>39</v>
      </c>
      <c r="M6" s="6" t="s">
        <v>39</v>
      </c>
      <c r="N6" s="6" t="s">
        <v>39</v>
      </c>
      <c r="O6" s="6" t="s">
        <v>39</v>
      </c>
      <c r="P6" s="6" t="s">
        <v>39</v>
      </c>
      <c r="Q6" s="7" t="s">
        <v>39</v>
      </c>
    </row>
    <row r="7" spans="1:17" ht="31.2" customHeight="1" x14ac:dyDescent="0.3">
      <c r="A7" s="4">
        <v>9</v>
      </c>
      <c r="B7" s="6">
        <v>45950</v>
      </c>
      <c r="C7" s="6">
        <v>45950</v>
      </c>
      <c r="D7" s="6">
        <v>45950</v>
      </c>
      <c r="E7" s="6">
        <v>45950</v>
      </c>
      <c r="F7" s="6">
        <v>45950</v>
      </c>
      <c r="G7" s="6" t="s">
        <v>2</v>
      </c>
      <c r="H7" s="6">
        <v>45950</v>
      </c>
      <c r="I7" s="6">
        <v>45950</v>
      </c>
      <c r="J7" s="6" t="s">
        <v>39</v>
      </c>
      <c r="K7" s="6" t="s">
        <v>39</v>
      </c>
      <c r="L7" s="6" t="s">
        <v>39</v>
      </c>
      <c r="M7" s="6" t="s">
        <v>39</v>
      </c>
      <c r="N7" s="6" t="s">
        <v>39</v>
      </c>
      <c r="O7" s="6" t="s">
        <v>39</v>
      </c>
      <c r="P7" s="6" t="s">
        <v>39</v>
      </c>
      <c r="Q7" s="7" t="s">
        <v>39</v>
      </c>
    </row>
    <row r="8" spans="1:17" ht="31.2" customHeight="1" x14ac:dyDescent="0.3">
      <c r="A8" s="4">
        <v>10</v>
      </c>
      <c r="B8" s="6" t="s">
        <v>39</v>
      </c>
      <c r="C8" s="6" t="s">
        <v>39</v>
      </c>
      <c r="D8" s="6">
        <v>45950</v>
      </c>
      <c r="E8" s="6">
        <v>45950</v>
      </c>
      <c r="F8" s="6">
        <v>45950</v>
      </c>
      <c r="G8" s="6">
        <v>45950</v>
      </c>
      <c r="H8" s="6" t="s">
        <v>2</v>
      </c>
      <c r="I8" s="6">
        <v>45950</v>
      </c>
      <c r="J8" s="6">
        <v>45950</v>
      </c>
      <c r="K8" s="6" t="s">
        <v>39</v>
      </c>
      <c r="L8" s="6" t="s">
        <v>39</v>
      </c>
      <c r="M8" s="6" t="s">
        <v>39</v>
      </c>
      <c r="N8" s="6" t="s">
        <v>39</v>
      </c>
      <c r="O8" s="6" t="s">
        <v>39</v>
      </c>
      <c r="P8" s="6" t="s">
        <v>39</v>
      </c>
      <c r="Q8" s="7" t="s">
        <v>39</v>
      </c>
    </row>
    <row r="9" spans="1:17" ht="31.2" customHeight="1" x14ac:dyDescent="0.3">
      <c r="A9" s="4">
        <v>11</v>
      </c>
      <c r="B9" s="6" t="s">
        <v>39</v>
      </c>
      <c r="C9" s="6" t="s">
        <v>39</v>
      </c>
      <c r="D9" s="6" t="s">
        <v>39</v>
      </c>
      <c r="E9" s="6">
        <v>45950</v>
      </c>
      <c r="F9" s="6">
        <v>45950</v>
      </c>
      <c r="G9" s="6">
        <v>45950</v>
      </c>
      <c r="H9" s="6">
        <v>45950</v>
      </c>
      <c r="I9" s="6" t="s">
        <v>2</v>
      </c>
      <c r="J9" s="6">
        <v>45950</v>
      </c>
      <c r="K9" s="6">
        <v>45950</v>
      </c>
      <c r="L9" s="6">
        <v>45950</v>
      </c>
      <c r="M9" s="6">
        <v>45950</v>
      </c>
      <c r="N9" s="6">
        <v>68925</v>
      </c>
      <c r="O9" s="6">
        <v>68925</v>
      </c>
      <c r="P9" s="6">
        <v>68925</v>
      </c>
      <c r="Q9" s="7">
        <v>68925</v>
      </c>
    </row>
    <row r="10" spans="1:17" ht="31.2" customHeight="1" x14ac:dyDescent="0.3">
      <c r="A10" s="4">
        <v>12</v>
      </c>
      <c r="B10" s="6" t="s">
        <v>39</v>
      </c>
      <c r="C10" s="6" t="s">
        <v>39</v>
      </c>
      <c r="D10" s="6" t="s">
        <v>39</v>
      </c>
      <c r="E10" s="6">
        <v>45950</v>
      </c>
      <c r="F10" s="6">
        <v>45950</v>
      </c>
      <c r="G10" s="6">
        <v>45950</v>
      </c>
      <c r="H10" s="6">
        <v>45950</v>
      </c>
      <c r="I10" s="6">
        <v>45950</v>
      </c>
      <c r="J10" s="6" t="s">
        <v>2</v>
      </c>
      <c r="K10" s="6">
        <v>45950</v>
      </c>
      <c r="L10" s="6">
        <v>45950</v>
      </c>
      <c r="M10" s="6" t="s">
        <v>39</v>
      </c>
      <c r="N10" s="6">
        <v>68925</v>
      </c>
      <c r="O10" s="6">
        <v>68925</v>
      </c>
      <c r="P10" s="6">
        <v>68925</v>
      </c>
      <c r="Q10" s="7">
        <v>68925</v>
      </c>
    </row>
    <row r="11" spans="1:17" ht="31.2" customHeight="1" x14ac:dyDescent="0.3">
      <c r="A11" s="4">
        <v>13</v>
      </c>
      <c r="B11" s="6" t="s">
        <v>39</v>
      </c>
      <c r="C11" s="6" t="s">
        <v>39</v>
      </c>
      <c r="D11" s="6" t="s">
        <v>39</v>
      </c>
      <c r="E11" s="6">
        <v>45950</v>
      </c>
      <c r="F11" s="6">
        <v>45950</v>
      </c>
      <c r="G11" s="6">
        <v>45950</v>
      </c>
      <c r="H11" s="6">
        <v>45950</v>
      </c>
      <c r="I11" s="6">
        <v>45950</v>
      </c>
      <c r="J11" s="6">
        <v>45950</v>
      </c>
      <c r="K11" s="6" t="s">
        <v>2</v>
      </c>
      <c r="L11" s="6">
        <v>45950</v>
      </c>
      <c r="M11" s="6">
        <v>45950</v>
      </c>
      <c r="N11" s="6">
        <v>68925</v>
      </c>
      <c r="O11" s="6">
        <v>68925</v>
      </c>
      <c r="P11" s="6">
        <v>68925</v>
      </c>
      <c r="Q11" s="7">
        <v>68925</v>
      </c>
    </row>
    <row r="12" spans="1:17" ht="31.2" customHeight="1" x14ac:dyDescent="0.3">
      <c r="A12" s="4">
        <v>14</v>
      </c>
      <c r="B12" s="6" t="s">
        <v>39</v>
      </c>
      <c r="C12" s="6" t="s">
        <v>39</v>
      </c>
      <c r="D12" s="6" t="s">
        <v>39</v>
      </c>
      <c r="E12" s="6">
        <v>68925</v>
      </c>
      <c r="F12" s="6">
        <v>68925</v>
      </c>
      <c r="G12" s="6">
        <v>45950</v>
      </c>
      <c r="H12" s="6">
        <v>45950</v>
      </c>
      <c r="I12" s="6">
        <v>45950</v>
      </c>
      <c r="J12" s="6">
        <v>45950</v>
      </c>
      <c r="K12" s="6">
        <v>45950</v>
      </c>
      <c r="L12" s="6" t="s">
        <v>2</v>
      </c>
      <c r="M12" s="6">
        <v>45950</v>
      </c>
      <c r="N12" s="6">
        <v>68925</v>
      </c>
      <c r="O12" s="6">
        <v>45950</v>
      </c>
      <c r="P12" s="6">
        <v>45950</v>
      </c>
      <c r="Q12" s="7">
        <v>68925</v>
      </c>
    </row>
    <row r="13" spans="1:17" ht="31.2" customHeight="1" x14ac:dyDescent="0.3">
      <c r="A13" s="4">
        <v>15</v>
      </c>
      <c r="B13" s="6" t="s">
        <v>39</v>
      </c>
      <c r="C13" s="6" t="s">
        <v>39</v>
      </c>
      <c r="D13" s="6" t="s">
        <v>39</v>
      </c>
      <c r="E13" s="6">
        <v>68925</v>
      </c>
      <c r="F13" s="6">
        <v>68925</v>
      </c>
      <c r="G13" s="6">
        <v>68925</v>
      </c>
      <c r="H13" s="6">
        <v>68925</v>
      </c>
      <c r="I13" s="6">
        <v>45950</v>
      </c>
      <c r="J13" s="6">
        <v>45950</v>
      </c>
      <c r="K13" s="6">
        <v>45950</v>
      </c>
      <c r="L13" s="6">
        <v>45950</v>
      </c>
      <c r="M13" s="6" t="s">
        <v>2</v>
      </c>
      <c r="N13" s="6">
        <v>68925</v>
      </c>
      <c r="O13" s="6">
        <v>45950</v>
      </c>
      <c r="P13" s="6">
        <v>45950</v>
      </c>
      <c r="Q13" s="7">
        <v>68925</v>
      </c>
    </row>
    <row r="14" spans="1:17" ht="31.2" customHeight="1" x14ac:dyDescent="0.3">
      <c r="A14" s="4">
        <v>16</v>
      </c>
      <c r="B14" s="6" t="s">
        <v>39</v>
      </c>
      <c r="C14" s="6" t="s">
        <v>39</v>
      </c>
      <c r="D14" s="6" t="s">
        <v>39</v>
      </c>
      <c r="E14" s="6">
        <v>68925</v>
      </c>
      <c r="F14" s="6">
        <v>68925</v>
      </c>
      <c r="G14" s="6">
        <v>68925</v>
      </c>
      <c r="H14" s="6">
        <v>68925</v>
      </c>
      <c r="I14" s="6">
        <v>45950</v>
      </c>
      <c r="J14" s="6">
        <v>45950</v>
      </c>
      <c r="K14" s="6">
        <v>45950</v>
      </c>
      <c r="L14" s="6">
        <v>45950</v>
      </c>
      <c r="M14" s="6">
        <v>45950</v>
      </c>
      <c r="N14" s="6" t="s">
        <v>2</v>
      </c>
      <c r="O14" s="6">
        <v>45950</v>
      </c>
      <c r="P14" s="6">
        <v>45950</v>
      </c>
      <c r="Q14" s="7">
        <v>45950</v>
      </c>
    </row>
    <row r="15" spans="1:17" ht="31.2" customHeight="1" x14ac:dyDescent="0.3">
      <c r="A15" s="4">
        <v>17</v>
      </c>
      <c r="B15" s="6" t="s">
        <v>39</v>
      </c>
      <c r="C15" s="6" t="s">
        <v>39</v>
      </c>
      <c r="D15" s="6" t="s">
        <v>39</v>
      </c>
      <c r="E15" s="6">
        <v>68925</v>
      </c>
      <c r="F15" s="6">
        <v>68925</v>
      </c>
      <c r="G15" s="6">
        <v>68925</v>
      </c>
      <c r="H15" s="6">
        <v>68925</v>
      </c>
      <c r="I15" s="6">
        <v>45950</v>
      </c>
      <c r="J15" s="6">
        <v>45950</v>
      </c>
      <c r="K15" s="6">
        <v>45950</v>
      </c>
      <c r="L15" s="6">
        <v>45950</v>
      </c>
      <c r="M15" s="6">
        <v>45950</v>
      </c>
      <c r="N15" s="6">
        <v>45950</v>
      </c>
      <c r="O15" s="6" t="s">
        <v>2</v>
      </c>
      <c r="P15" s="6">
        <v>45950</v>
      </c>
      <c r="Q15" s="7">
        <v>45950</v>
      </c>
    </row>
    <row r="16" spans="1:17" ht="31.2" customHeight="1" x14ac:dyDescent="0.3">
      <c r="A16" s="4">
        <v>18</v>
      </c>
      <c r="B16" s="6" t="s">
        <v>39</v>
      </c>
      <c r="C16" s="6" t="s">
        <v>39</v>
      </c>
      <c r="D16" s="6" t="s">
        <v>39</v>
      </c>
      <c r="E16" s="6">
        <v>68925</v>
      </c>
      <c r="F16" s="6">
        <v>68925</v>
      </c>
      <c r="G16" s="6">
        <v>68925</v>
      </c>
      <c r="H16" s="6">
        <v>68925</v>
      </c>
      <c r="I16" s="6">
        <v>68925</v>
      </c>
      <c r="J16" s="6">
        <v>68925</v>
      </c>
      <c r="K16" s="6">
        <v>68925</v>
      </c>
      <c r="L16" s="6">
        <v>68925</v>
      </c>
      <c r="M16" s="6">
        <v>68925</v>
      </c>
      <c r="N16" s="6">
        <v>45950</v>
      </c>
      <c r="O16" s="6">
        <v>45950</v>
      </c>
      <c r="P16" s="6" t="s">
        <v>2</v>
      </c>
      <c r="Q16" s="7">
        <v>45950</v>
      </c>
    </row>
    <row r="17" spans="1:17" ht="31.2" customHeight="1" thickBot="1" x14ac:dyDescent="0.35">
      <c r="A17" s="5">
        <v>20</v>
      </c>
      <c r="B17" s="8" t="s">
        <v>39</v>
      </c>
      <c r="C17" s="8" t="s">
        <v>39</v>
      </c>
      <c r="D17" s="8" t="s">
        <v>39</v>
      </c>
      <c r="E17" s="8">
        <v>68925</v>
      </c>
      <c r="F17" s="8">
        <v>68925</v>
      </c>
      <c r="G17" s="8">
        <v>68925</v>
      </c>
      <c r="H17" s="8">
        <v>68925</v>
      </c>
      <c r="I17" s="8">
        <v>68925</v>
      </c>
      <c r="J17" s="8">
        <v>68925</v>
      </c>
      <c r="K17" s="8">
        <v>68925</v>
      </c>
      <c r="L17" s="8">
        <v>68925</v>
      </c>
      <c r="M17" s="8">
        <v>68925</v>
      </c>
      <c r="N17" s="8">
        <v>45950</v>
      </c>
      <c r="O17" s="8">
        <v>45950</v>
      </c>
      <c r="P17" s="8">
        <v>45950</v>
      </c>
      <c r="Q17" s="9" t="s">
        <v>2</v>
      </c>
    </row>
  </sheetData>
  <pageMargins left="0.70866141732283472" right="0.70866141732283472" top="0.74803149606299213" bottom="0.74803149606299213" header="0.31496062992125984" footer="0.31496062992125984"/>
  <pageSetup paperSize="9" scale="7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Section Roll Changeover Time</vt:lpstr>
      <vt:lpstr>Section change cost</vt:lpstr>
      <vt:lpstr>Thickness change cost</vt:lpstr>
      <vt:lpstr>Thickness Changeover Cost_SM</vt:lpstr>
      <vt:lpstr>Thickness Changeover Cost_LM</vt:lpstr>
      <vt:lpstr>'Section change cost'!Print_Area</vt:lpstr>
      <vt:lpstr>'Thickness change cost'!Print_Area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cp:lastPrinted>2026-04-09T12:06:49Z</cp:lastPrinted>
  <dcterms:created xsi:type="dcterms:W3CDTF">2026-04-09T05:55:35Z</dcterms:created>
  <dcterms:modified xsi:type="dcterms:W3CDTF">2026-05-04T12:35:16Z</dcterms:modified>
</cp:coreProperties>
</file>